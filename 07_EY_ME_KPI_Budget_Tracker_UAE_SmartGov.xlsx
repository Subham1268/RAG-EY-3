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KPI Dashboard" sheetId="2" state="visible" r:id="rId2"/>
    <sheet xmlns:r="http://schemas.openxmlformats.org/officeDocument/2006/relationships" name="Budget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1A3A5C"/>
      <sz val="16"/>
    </font>
    <font>
      <name val="Arial"/>
      <b val="1"/>
      <color rgb="00333333"/>
      <sz val="14"/>
    </font>
    <font>
      <name val="Arial"/>
      <color rgb="00555555"/>
      <sz val="12"/>
    </font>
    <font>
      <name val="Arial"/>
      <i val="1"/>
      <color rgb="00888888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222222"/>
      <sz val="10"/>
    </font>
    <font>
      <name val="Arial"/>
      <color rgb="00222222"/>
      <sz val="10"/>
    </font>
    <font>
      <name val="Arial"/>
      <b val="1"/>
      <color rgb="00FFFFFF"/>
      <sz val="13"/>
    </font>
    <font>
      <name val="Arial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1A3A5C"/>
      </patternFill>
    </fill>
    <fill>
      <patternFill patternType="solid">
        <fgColor rgb="002C5282"/>
      </patternFill>
    </fill>
    <fill>
      <patternFill patternType="solid">
        <fgColor rgb="00FFFFFF"/>
      </patternFill>
    </fill>
    <fill>
      <patternFill patternType="solid">
        <fgColor rgb="00C8F0C8"/>
      </patternFill>
    </fill>
    <fill>
      <patternFill patternType="solid">
        <fgColor rgb="00F5F7FA"/>
      </patternFill>
    </fill>
    <fill>
      <patternFill patternType="solid">
        <fgColor rgb="00FFF0C0"/>
      </patternFill>
    </fill>
    <fill>
      <patternFill patternType="solid">
        <fgColor rgb="00FFD0D0"/>
      </patternFill>
    </fill>
    <fill>
      <patternFill patternType="solid">
        <fgColor rgb="00D0FFD0"/>
      </patternFill>
    </fill>
  </fills>
  <borders count="3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/>
    </xf>
    <xf numFmtId="164" fontId="8" fillId="5" borderId="2" applyAlignment="1" pivotButton="0" quotePrefix="0" xfId="0">
      <alignment horizontal="center" vertical="center" wrapText="1"/>
    </xf>
    <xf numFmtId="164" fontId="7" fillId="5" borderId="2" applyAlignment="1" pivotButton="0" quotePrefix="0" xfId="0">
      <alignment horizontal="center" vertical="center" wrapText="1"/>
    </xf>
    <xf numFmtId="164" fontId="7" fillId="10" borderId="2" applyAlignment="1" pivotButton="0" quotePrefix="0" xfId="0">
      <alignment horizontal="center" vertical="center" wrapText="1"/>
    </xf>
    <xf numFmtId="164" fontId="8" fillId="7" borderId="2" applyAlignment="1" pivotButton="0" quotePrefix="0" xfId="0">
      <alignment horizontal="center" vertical="center" wrapText="1"/>
    </xf>
    <xf numFmtId="164" fontId="7" fillId="7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164" fontId="10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EY Middle East | Strategy &amp; Operations</t>
        </is>
      </c>
    </row>
    <row r="2">
      <c r="A2" s="2" t="inlineStr">
        <is>
          <t>Engagement KPI Tracker &amp; Performance Dashboard</t>
        </is>
      </c>
    </row>
    <row r="3">
      <c r="A3" s="3" t="inlineStr">
        <is>
          <t>UAE Federal Government | Smart Services Transformation Programme</t>
        </is>
      </c>
    </row>
    <row r="4">
      <c r="A4" s="4" t="inlineStr">
        <is>
          <t>Engagement ID: ME-SO-2023-0298 | Abu Dhabi, UAE | December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6" customWidth="1" min="4" max="4"/>
    <col width="16" customWidth="1" min="5" max="5"/>
    <col width="12" customWidth="1" min="6" max="6"/>
    <col width="12" customWidth="1" min="7" max="7"/>
    <col width="18" customWidth="1" min="8" max="8"/>
    <col width="22" customWidth="1" min="9" max="9"/>
    <col width="16" customWidth="1" min="10" max="10"/>
  </cols>
  <sheetData>
    <row r="1" ht="30" customHeight="1">
      <c r="A1" s="5" t="inlineStr">
        <is>
          <t>Smart Services Transformation | KPI Performance Dashboard | Q4 2023</t>
        </is>
      </c>
    </row>
    <row r="2" ht="20" customHeight="1"/>
    <row r="3">
      <c r="A3" s="6" t="inlineStr">
        <is>
          <t>KPI ID</t>
        </is>
      </c>
      <c r="B3" s="6" t="inlineStr">
        <is>
          <t>KPI Description</t>
        </is>
      </c>
      <c r="C3" s="6" t="inlineStr">
        <is>
          <t>Workstream</t>
        </is>
      </c>
      <c r="D3" s="6" t="inlineStr">
        <is>
          <t>Baseline</t>
        </is>
      </c>
      <c r="E3" s="6" t="inlineStr">
        <is>
          <t>Target</t>
        </is>
      </c>
      <c r="F3" s="6" t="inlineStr">
        <is>
          <t>Q2 Actual</t>
        </is>
      </c>
      <c r="G3" s="6" t="inlineStr">
        <is>
          <t>Q3 Actual</t>
        </is>
      </c>
      <c r="H3" s="6" t="inlineStr">
        <is>
          <t>Q4 Actual</t>
        </is>
      </c>
      <c r="I3" s="6" t="inlineStr">
        <is>
          <t>Status</t>
        </is>
      </c>
      <c r="J3" s="6" t="inlineStr">
        <is>
          <t>Trend</t>
        </is>
      </c>
    </row>
    <row r="4">
      <c r="A4" s="7" t="inlineStr">
        <is>
          <t>K01</t>
        </is>
      </c>
      <c r="B4" s="8" t="inlineStr">
        <is>
          <t>Govt services fully digitalised (% of total)</t>
        </is>
      </c>
      <c r="C4" s="9" t="inlineStr">
        <is>
          <t>Digital Channels</t>
        </is>
      </c>
      <c r="D4" s="9" t="inlineStr">
        <is>
          <t>42%</t>
        </is>
      </c>
      <c r="E4" s="9" t="inlineStr">
        <is>
          <t>80%</t>
        </is>
      </c>
      <c r="F4" s="9" t="inlineStr">
        <is>
          <t>54%</t>
        </is>
      </c>
      <c r="G4" s="9" t="inlineStr">
        <is>
          <t>61%</t>
        </is>
      </c>
      <c r="H4" s="9" t="inlineStr">
        <is>
          <t>68%</t>
        </is>
      </c>
      <c r="I4" s="10" t="inlineStr">
        <is>
          <t>On Track</t>
        </is>
      </c>
      <c r="J4" s="9" t="inlineStr">
        <is>
          <t>Improving</t>
        </is>
      </c>
    </row>
    <row r="5">
      <c r="A5" s="11" t="inlineStr">
        <is>
          <t>K02</t>
        </is>
      </c>
      <c r="B5" s="12" t="inlineStr">
        <is>
          <t>Avg. citizen service completion time (mins)</t>
        </is>
      </c>
      <c r="C5" s="13" t="inlineStr">
        <is>
          <t>UX &amp; Process</t>
        </is>
      </c>
      <c r="D5" s="13" t="inlineStr">
        <is>
          <t>34</t>
        </is>
      </c>
      <c r="E5" s="13" t="inlineStr">
        <is>
          <t>12</t>
        </is>
      </c>
      <c r="F5" s="13" t="inlineStr">
        <is>
          <t>28</t>
        </is>
      </c>
      <c r="G5" s="13" t="inlineStr">
        <is>
          <t>22</t>
        </is>
      </c>
      <c r="H5" s="13" t="inlineStr">
        <is>
          <t>18</t>
        </is>
      </c>
      <c r="I5" s="10" t="inlineStr">
        <is>
          <t>On Track</t>
        </is>
      </c>
      <c r="J5" s="13" t="inlineStr">
        <is>
          <t>Improving</t>
        </is>
      </c>
    </row>
    <row r="6">
      <c r="A6" s="7" t="inlineStr">
        <is>
          <t>K03</t>
        </is>
      </c>
      <c r="B6" s="8" t="inlineStr">
        <is>
          <t>Net Promoter Score - Digital Services</t>
        </is>
      </c>
      <c r="C6" s="9" t="inlineStr">
        <is>
          <t>UX &amp; Process</t>
        </is>
      </c>
      <c r="D6" s="9" t="inlineStr">
        <is>
          <t>+18</t>
        </is>
      </c>
      <c r="E6" s="9" t="inlineStr">
        <is>
          <t>+50</t>
        </is>
      </c>
      <c r="F6" s="9" t="inlineStr">
        <is>
          <t>+24</t>
        </is>
      </c>
      <c r="G6" s="9" t="inlineStr">
        <is>
          <t>+31</t>
        </is>
      </c>
      <c r="H6" s="9" t="inlineStr">
        <is>
          <t>+37</t>
        </is>
      </c>
      <c r="I6" s="10" t="inlineStr">
        <is>
          <t>On Track</t>
        </is>
      </c>
      <c r="J6" s="9" t="inlineStr">
        <is>
          <t>Improving</t>
        </is>
      </c>
    </row>
    <row r="7">
      <c r="A7" s="11" t="inlineStr">
        <is>
          <t>K04</t>
        </is>
      </c>
      <c r="B7" s="12" t="inlineStr">
        <is>
          <t>Backend system integration coverage (%)</t>
        </is>
      </c>
      <c r="C7" s="13" t="inlineStr">
        <is>
          <t>Technology</t>
        </is>
      </c>
      <c r="D7" s="13" t="inlineStr">
        <is>
          <t>30%</t>
        </is>
      </c>
      <c r="E7" s="13" t="inlineStr">
        <is>
          <t>90%</t>
        </is>
      </c>
      <c r="F7" s="13" t="inlineStr">
        <is>
          <t>45%</t>
        </is>
      </c>
      <c r="G7" s="13" t="inlineStr">
        <is>
          <t>55%</t>
        </is>
      </c>
      <c r="H7" s="13" t="inlineStr">
        <is>
          <t>60%</t>
        </is>
      </c>
      <c r="I7" s="14" t="inlineStr">
        <is>
          <t>At Risk</t>
        </is>
      </c>
      <c r="J7" s="13" t="inlineStr">
        <is>
          <t>Stable</t>
        </is>
      </c>
    </row>
    <row r="8">
      <c r="A8" s="7" t="inlineStr">
        <is>
          <t>K05</t>
        </is>
      </c>
      <c r="B8" s="8" t="inlineStr">
        <is>
          <t>Staff digital competency index (100-pt scale)</t>
        </is>
      </c>
      <c r="C8" s="9" t="inlineStr">
        <is>
          <t>People &amp; Change</t>
        </is>
      </c>
      <c r="D8" s="9" t="inlineStr">
        <is>
          <t>38</t>
        </is>
      </c>
      <c r="E8" s="9" t="inlineStr">
        <is>
          <t>75</t>
        </is>
      </c>
      <c r="F8" s="9" t="inlineStr">
        <is>
          <t>46</t>
        </is>
      </c>
      <c r="G8" s="9" t="inlineStr">
        <is>
          <t>52</t>
        </is>
      </c>
      <c r="H8" s="9" t="inlineStr">
        <is>
          <t>57</t>
        </is>
      </c>
      <c r="I8" s="14" t="inlineStr">
        <is>
          <t>At Risk</t>
        </is>
      </c>
      <c r="J8" s="9" t="inlineStr">
        <is>
          <t>Improving</t>
        </is>
      </c>
    </row>
    <row r="9">
      <c r="A9" s="11" t="inlineStr">
        <is>
          <t>K06</t>
        </is>
      </c>
      <c r="B9" s="12" t="inlineStr">
        <is>
          <t>AI/automation adoption - eligible processes (%)</t>
        </is>
      </c>
      <c r="C9" s="13" t="inlineStr">
        <is>
          <t>Technology</t>
        </is>
      </c>
      <c r="D9" s="13" t="inlineStr">
        <is>
          <t>5%</t>
        </is>
      </c>
      <c r="E9" s="13" t="inlineStr">
        <is>
          <t>40%</t>
        </is>
      </c>
      <c r="F9" s="13" t="inlineStr">
        <is>
          <t>8%</t>
        </is>
      </c>
      <c r="G9" s="13" t="inlineStr">
        <is>
          <t>12%</t>
        </is>
      </c>
      <c r="H9" s="13" t="inlineStr">
        <is>
          <t>15%</t>
        </is>
      </c>
      <c r="I9" s="15" t="inlineStr">
        <is>
          <t>Off Track</t>
        </is>
      </c>
      <c r="J9" s="13" t="inlineStr">
        <is>
          <t>Stable</t>
        </is>
      </c>
    </row>
    <row r="10">
      <c r="A10" s="7" t="inlineStr">
        <is>
          <t>K07</t>
        </is>
      </c>
      <c r="B10" s="8" t="inlineStr">
        <is>
          <t>Cybersecurity incident rate (per 1000 transactions)</t>
        </is>
      </c>
      <c r="C10" s="9" t="inlineStr">
        <is>
          <t>Security</t>
        </is>
      </c>
      <c r="D10" s="9" t="inlineStr">
        <is>
          <t>4.2</t>
        </is>
      </c>
      <c r="E10" s="9" t="inlineStr">
        <is>
          <t>&lt;1.0</t>
        </is>
      </c>
      <c r="F10" s="9" t="inlineStr">
        <is>
          <t>3.1</t>
        </is>
      </c>
      <c r="G10" s="9" t="inlineStr">
        <is>
          <t>2.4</t>
        </is>
      </c>
      <c r="H10" s="9" t="inlineStr">
        <is>
          <t>1.8</t>
        </is>
      </c>
      <c r="I10" s="10" t="inlineStr">
        <is>
          <t>On Track</t>
        </is>
      </c>
      <c r="J10" s="9" t="inlineStr">
        <is>
          <t>Improving</t>
        </is>
      </c>
    </row>
    <row r="11">
      <c r="A11" s="11" t="inlineStr">
        <is>
          <t>K08</t>
        </is>
      </c>
      <c r="B11" s="12" t="inlineStr">
        <is>
          <t>Data quality index (key datasets)</t>
        </is>
      </c>
      <c r="C11" s="13" t="inlineStr">
        <is>
          <t>Data &amp; Analytics</t>
        </is>
      </c>
      <c r="D11" s="13" t="inlineStr">
        <is>
          <t>51%</t>
        </is>
      </c>
      <c r="E11" s="13" t="inlineStr">
        <is>
          <t>85%</t>
        </is>
      </c>
      <c r="F11" s="13" t="inlineStr">
        <is>
          <t>58%</t>
        </is>
      </c>
      <c r="G11" s="13" t="inlineStr">
        <is>
          <t>65%</t>
        </is>
      </c>
      <c r="H11" s="13" t="inlineStr">
        <is>
          <t>71%</t>
        </is>
      </c>
      <c r="I11" s="10" t="inlineStr">
        <is>
          <t>On Track</t>
        </is>
      </c>
      <c r="J11" s="13" t="inlineStr">
        <is>
          <t>Improving</t>
        </is>
      </c>
    </row>
    <row r="12">
      <c r="A12" s="7" t="inlineStr">
        <is>
          <t>K09</t>
        </is>
      </c>
      <c r="B12" s="8" t="inlineStr">
        <is>
          <t>Cost per digital transaction (AED)</t>
        </is>
      </c>
      <c r="C12" s="9" t="inlineStr">
        <is>
          <t>Efficiency</t>
        </is>
      </c>
      <c r="D12" s="9" t="inlineStr">
        <is>
          <t>12.50</t>
        </is>
      </c>
      <c r="E12" s="9" t="inlineStr">
        <is>
          <t>4.00</t>
        </is>
      </c>
      <c r="F12" s="9" t="inlineStr">
        <is>
          <t>10.20</t>
        </is>
      </c>
      <c r="G12" s="9" t="inlineStr">
        <is>
          <t>8.40</t>
        </is>
      </c>
      <c r="H12" s="9" t="inlineStr">
        <is>
          <t>7.10</t>
        </is>
      </c>
      <c r="I12" s="10" t="inlineStr">
        <is>
          <t>On Track</t>
        </is>
      </c>
      <c r="J12" s="9" t="inlineStr">
        <is>
          <t>Improving</t>
        </is>
      </c>
    </row>
    <row r="13">
      <c r="A13" s="11" t="inlineStr">
        <is>
          <t>K10</t>
        </is>
      </c>
      <c r="B13" s="12" t="inlineStr">
        <is>
          <t>Cross-entity data sharing capability (%)</t>
        </is>
      </c>
      <c r="C13" s="13" t="inlineStr">
        <is>
          <t>Data &amp; Analytics</t>
        </is>
      </c>
      <c r="D13" s="13" t="inlineStr">
        <is>
          <t>15%</t>
        </is>
      </c>
      <c r="E13" s="13" t="inlineStr">
        <is>
          <t>70%</t>
        </is>
      </c>
      <c r="F13" s="13" t="inlineStr">
        <is>
          <t>20%</t>
        </is>
      </c>
      <c r="G13" s="13" t="inlineStr">
        <is>
          <t>28%</t>
        </is>
      </c>
      <c r="H13" s="13" t="inlineStr">
        <is>
          <t>32%</t>
        </is>
      </c>
      <c r="I13" s="15" t="inlineStr">
        <is>
          <t>Off Track</t>
        </is>
      </c>
      <c r="J13" s="13" t="inlineStr">
        <is>
          <t>Stable</t>
        </is>
      </c>
    </row>
    <row r="14">
      <c r="A14" s="7" t="inlineStr">
        <is>
          <t>K11</t>
        </is>
      </c>
      <c r="B14" s="8" t="inlineStr">
        <is>
          <t>Programme milestone achievement rate (%)</t>
        </is>
      </c>
      <c r="C14" s="9" t="inlineStr">
        <is>
          <t>Programme Mgmt</t>
        </is>
      </c>
      <c r="D14" s="9" t="inlineStr">
        <is>
          <t>N/A</t>
        </is>
      </c>
      <c r="E14" s="9" t="inlineStr">
        <is>
          <t>90%</t>
        </is>
      </c>
      <c r="F14" s="9" t="inlineStr">
        <is>
          <t>72%</t>
        </is>
      </c>
      <c r="G14" s="9" t="inlineStr">
        <is>
          <t>78%</t>
        </is>
      </c>
      <c r="H14" s="9" t="inlineStr">
        <is>
          <t>81%</t>
        </is>
      </c>
      <c r="I14" s="14" t="inlineStr">
        <is>
          <t>At Risk</t>
        </is>
      </c>
      <c r="J14" s="9" t="inlineStr">
        <is>
          <t>Improving</t>
        </is>
      </c>
    </row>
    <row r="15">
      <c r="A15" s="11" t="inlineStr">
        <is>
          <t>K12</t>
        </is>
      </c>
      <c r="B15" s="12" t="inlineStr">
        <is>
          <t>Accessibility compliance - WCAG 2.1 AA (%)</t>
        </is>
      </c>
      <c r="C15" s="13" t="inlineStr">
        <is>
          <t>Inclusion</t>
        </is>
      </c>
      <c r="D15" s="13" t="inlineStr">
        <is>
          <t>55%</t>
        </is>
      </c>
      <c r="E15" s="13" t="inlineStr">
        <is>
          <t>100%</t>
        </is>
      </c>
      <c r="F15" s="13" t="inlineStr">
        <is>
          <t>62%</t>
        </is>
      </c>
      <c r="G15" s="13" t="inlineStr">
        <is>
          <t>71%</t>
        </is>
      </c>
      <c r="H15" s="13" t="inlineStr">
        <is>
          <t>79%</t>
        </is>
      </c>
      <c r="I15" s="10" t="inlineStr">
        <is>
          <t>On Track</t>
        </is>
      </c>
      <c r="J15" s="13" t="inlineStr">
        <is>
          <t>Improving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 ht="28" customHeight="1">
      <c r="A1" s="16" t="inlineStr">
        <is>
          <t>Smart Services Programme | Budget vs Actuals Tracker | AED Millions</t>
        </is>
      </c>
    </row>
    <row r="3">
      <c r="A3" s="6" t="inlineStr">
        <is>
          <t>Workstream</t>
        </is>
      </c>
      <c r="B3" s="6" t="inlineStr">
        <is>
          <t>Total Budget</t>
        </is>
      </c>
      <c r="C3" s="6" t="inlineStr">
        <is>
          <t>Q1 Spend</t>
        </is>
      </c>
      <c r="D3" s="6" t="inlineStr">
        <is>
          <t>Q2 Spend</t>
        </is>
      </c>
      <c r="E3" s="6" t="inlineStr">
        <is>
          <t>Q3 Spend</t>
        </is>
      </c>
      <c r="F3" s="6" t="inlineStr">
        <is>
          <t>Q4 Spend</t>
        </is>
      </c>
      <c r="G3" s="6" t="inlineStr">
        <is>
          <t>Total Spent</t>
        </is>
      </c>
      <c r="H3" s="6" t="inlineStr">
        <is>
          <t>Variance</t>
        </is>
      </c>
    </row>
    <row r="4">
      <c r="A4" s="8" t="inlineStr">
        <is>
          <t>Digital Channels &amp; UX</t>
        </is>
      </c>
      <c r="B4" s="17" t="n">
        <v>85</v>
      </c>
      <c r="C4" s="17" t="n">
        <v>12.5</v>
      </c>
      <c r="D4" s="17" t="n">
        <v>18.2</v>
      </c>
      <c r="E4" s="17" t="n">
        <v>20.1</v>
      </c>
      <c r="F4" s="17" t="n">
        <v>22.4</v>
      </c>
      <c r="G4" s="18">
        <f>C4+D4+E4+F4</f>
        <v/>
      </c>
      <c r="H4" s="19">
        <f>B4-G4</f>
        <v/>
      </c>
    </row>
    <row r="5">
      <c r="A5" s="12" t="inlineStr">
        <is>
          <t>Core Technology &amp; Integration</t>
        </is>
      </c>
      <c r="B5" s="20" t="n">
        <v>142</v>
      </c>
      <c r="C5" s="20" t="n">
        <v>8</v>
      </c>
      <c r="D5" s="20" t="n">
        <v>22.5</v>
      </c>
      <c r="E5" s="20" t="n">
        <v>31.2</v>
      </c>
      <c r="F5" s="20" t="n">
        <v>34.8</v>
      </c>
      <c r="G5" s="21">
        <f>C5+D5+E5+F5</f>
        <v/>
      </c>
      <c r="H5" s="19">
        <f>B5-G5</f>
        <v/>
      </c>
    </row>
    <row r="6">
      <c r="A6" s="8" t="inlineStr">
        <is>
          <t>Data &amp; Analytics Platform</t>
        </is>
      </c>
      <c r="B6" s="17" t="n">
        <v>68</v>
      </c>
      <c r="C6" s="17" t="n">
        <v>5.5</v>
      </c>
      <c r="D6" s="17" t="n">
        <v>14</v>
      </c>
      <c r="E6" s="17" t="n">
        <v>18.5</v>
      </c>
      <c r="F6" s="17" t="n">
        <v>17.2</v>
      </c>
      <c r="G6" s="18">
        <f>C6+D6+E6+F6</f>
        <v/>
      </c>
      <c r="H6" s="19">
        <f>B6-G6</f>
        <v/>
      </c>
    </row>
    <row r="7">
      <c r="A7" s="12" t="inlineStr">
        <is>
          <t>Cybersecurity Enhancement</t>
        </is>
      </c>
      <c r="B7" s="20" t="n">
        <v>45</v>
      </c>
      <c r="C7" s="20" t="n">
        <v>6.2</v>
      </c>
      <c r="D7" s="20" t="n">
        <v>9.800000000000001</v>
      </c>
      <c r="E7" s="20" t="n">
        <v>11.5</v>
      </c>
      <c r="F7" s="20" t="n">
        <v>10.9</v>
      </c>
      <c r="G7" s="21">
        <f>C7+D7+E7+F7</f>
        <v/>
      </c>
      <c r="H7" s="19">
        <f>B7-G7</f>
        <v/>
      </c>
    </row>
    <row r="8">
      <c r="A8" s="8" t="inlineStr">
        <is>
          <t>People &amp; Change Management</t>
        </is>
      </c>
      <c r="B8" s="17" t="n">
        <v>32</v>
      </c>
      <c r="C8" s="17" t="n">
        <v>4.8</v>
      </c>
      <c r="D8" s="17" t="n">
        <v>7.2</v>
      </c>
      <c r="E8" s="17" t="n">
        <v>8.5</v>
      </c>
      <c r="F8" s="17" t="n">
        <v>7.9</v>
      </c>
      <c r="G8" s="18">
        <f>C8+D8+E8+F8</f>
        <v/>
      </c>
      <c r="H8" s="19">
        <f>B8-G8</f>
        <v/>
      </c>
    </row>
    <row r="9">
      <c r="A9" s="12" t="inlineStr">
        <is>
          <t>Programme Management Office</t>
        </is>
      </c>
      <c r="B9" s="20" t="n">
        <v>18</v>
      </c>
      <c r="C9" s="20" t="n">
        <v>2.8</v>
      </c>
      <c r="D9" s="20" t="n">
        <v>4.2</v>
      </c>
      <c r="E9" s="20" t="n">
        <v>4.8</v>
      </c>
      <c r="F9" s="20" t="n">
        <v>4.5</v>
      </c>
      <c r="G9" s="21">
        <f>C9+D9+E9+F9</f>
        <v/>
      </c>
      <c r="H9" s="19">
        <f>B9-G9</f>
        <v/>
      </c>
    </row>
    <row r="10">
      <c r="A10" s="22" t="inlineStr">
        <is>
          <t>TOTAL</t>
        </is>
      </c>
      <c r="B10" s="23">
        <f>SUM(B4:B9)</f>
        <v/>
      </c>
      <c r="C10" s="23">
        <f>SUM(C4:C9)</f>
        <v/>
      </c>
      <c r="D10" s="23">
        <f>SUM(D4:D9)</f>
        <v/>
      </c>
      <c r="E10" s="23">
        <f>SUM(E4:E9)</f>
        <v/>
      </c>
      <c r="F10" s="23">
        <f>SUM(F4:F9)</f>
        <v/>
      </c>
      <c r="G10" s="23">
        <f>SUM(G4:G9)</f>
        <v/>
      </c>
      <c r="H10" s="23">
        <f>SUM(H4:H9)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2026-05-21T05:45:07Z</dcterms:created>
  <dcterms:modified xmlns:dcterms="http://purl.org/dc/terms/" xmlns:xsi="http://www.w3.org/2001/XMLSchema-instance" xsi:type="dcterms:W3CDTF">2026-05-21T05:45:07Z</dcterms:modified>
</cp:coreProperties>
</file>