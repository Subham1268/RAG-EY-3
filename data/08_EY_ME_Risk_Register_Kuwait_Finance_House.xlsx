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5D1F1A"/>
      <sz val="14"/>
    </font>
    <font>
      <name val="Arial"/>
      <b val="1"/>
      <color rgb="005D1F1A"/>
      <sz val="24"/>
    </font>
    <font>
      <name val="Arial"/>
      <color rgb="00333333"/>
      <sz val="11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5D1F1A"/>
      </patternFill>
    </fill>
    <fill>
      <patternFill patternType="solid">
        <fgColor rgb="007B241C"/>
      </patternFill>
    </fill>
    <fill>
      <patternFill patternType="solid">
        <fgColor rgb="00F9F5F5"/>
      </patternFill>
    </fill>
    <fill>
      <patternFill patternType="solid">
        <fgColor rgb="00FFB0B0"/>
      </patternFill>
    </fill>
    <fill>
      <patternFill patternType="solid">
        <fgColor rgb="00FFF0C0"/>
      </patternFill>
    </fill>
    <fill>
      <patternFill patternType="solid">
        <fgColor rgb="00FFFFFF"/>
      </patternFill>
    </fill>
    <fill>
      <patternFill patternType="solid">
        <fgColor rgb="00FFDB99"/>
      </patternFill>
    </fill>
    <fill>
      <patternFill patternType="solid">
        <fgColor rgb="00FFD0D0"/>
      </patternFill>
    </fill>
    <fill>
      <patternFill patternType="solid">
        <fgColor rgb="00FFFFB0"/>
      </patternFill>
    </fill>
    <fill>
      <patternFill patternType="solid">
        <fgColor rgb="00D0FFD0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40" customWidth="1" min="3" max="3"/>
    <col width="30" customWidth="1" min="4" max="4"/>
    <col width="12" customWidth="1" min="5" max="5"/>
    <col width="10" customWidth="1" min="6" max="6"/>
    <col width="10" customWidth="1" min="7" max="7"/>
    <col width="35" customWidth="1" min="8" max="8"/>
    <col width="20" customWidth="1" min="9" max="9"/>
    <col width="18" customWidth="1" min="10" max="10"/>
    <col width="14" customWidth="1" min="11" max="11"/>
  </cols>
  <sheetData>
    <row r="1" ht="30" customHeight="1">
      <c r="A1" s="1" t="inlineStr">
        <is>
          <t>EY Middle East | Risk &amp; Compliance | Risk Register</t>
        </is>
      </c>
    </row>
    <row r="2">
      <c r="A2" s="2" t="inlineStr">
        <is>
          <t>Kuwait Finance House | Enterprise Risk Register | Regulatory Compliance Programme | Engagement ID: ME-RC-2024-0055 | February 2024</t>
        </is>
      </c>
    </row>
    <row r="4">
      <c r="A4" s="3" t="inlineStr">
        <is>
          <t>Risk ID</t>
        </is>
      </c>
      <c r="B4" s="3" t="inlineStr">
        <is>
          <t>Risk Category</t>
        </is>
      </c>
      <c r="C4" s="3" t="inlineStr">
        <is>
          <t>Risk Description</t>
        </is>
      </c>
      <c r="D4" s="3" t="inlineStr">
        <is>
          <t>Root Cause</t>
        </is>
      </c>
      <c r="E4" s="3" t="inlineStr">
        <is>
          <t>Likelihood
(1-5)</t>
        </is>
      </c>
      <c r="F4" s="3" t="inlineStr">
        <is>
          <t>Impact
(1-5)</t>
        </is>
      </c>
      <c r="G4" s="3" t="inlineStr">
        <is>
          <t>Risk Score</t>
        </is>
      </c>
      <c r="H4" s="3" t="inlineStr">
        <is>
          <t>Current Controls</t>
        </is>
      </c>
      <c r="I4" s="3" t="inlineStr">
        <is>
          <t>Control Effectiveness</t>
        </is>
      </c>
      <c r="J4" s="3" t="inlineStr">
        <is>
          <t>Risk Owner</t>
        </is>
      </c>
      <c r="K4" s="3" t="inlineStr">
        <is>
          <t>Next Review</t>
        </is>
      </c>
    </row>
    <row r="5">
      <c r="A5" s="4" t="inlineStr">
        <is>
          <t>R-001</t>
        </is>
      </c>
      <c r="B5" s="4" t="inlineStr">
        <is>
          <t>Regulatory Capital</t>
        </is>
      </c>
      <c r="C5" s="5" t="inlineStr">
        <is>
          <t>CET1 capital ratio approaches minimum threshold under stress scenario</t>
        </is>
      </c>
      <c r="D5" s="5" t="inlineStr">
        <is>
          <t>Rapid loan book growth; IFSB capital buffers not fully aligned with CBK requirements</t>
        </is>
      </c>
      <c r="E5" s="4" t="n">
        <v>4</v>
      </c>
      <c r="F5" s="4" t="n">
        <v>5</v>
      </c>
      <c r="G5" s="6" t="n">
        <v>20</v>
      </c>
      <c r="H5" s="5" t="inlineStr">
        <is>
          <t>Monthly ICAAP review; Board risk committee oversight</t>
        </is>
      </c>
      <c r="I5" s="7" t="inlineStr">
        <is>
          <t>Moderate</t>
        </is>
      </c>
      <c r="J5" s="4" t="inlineStr">
        <is>
          <t>CRO</t>
        </is>
      </c>
      <c r="K5" s="4" t="inlineStr">
        <is>
          <t>Mar 2024</t>
        </is>
      </c>
    </row>
    <row r="6">
      <c r="A6" s="8" t="inlineStr">
        <is>
          <t>R-002</t>
        </is>
      </c>
      <c r="B6" s="8" t="inlineStr">
        <is>
          <t>Sharia Compliance</t>
        </is>
      </c>
      <c r="C6" s="9" t="inlineStr">
        <is>
          <t>Murabaha product documentation does not fully reflect AAOIFI Standard 2 requirements</t>
        </is>
      </c>
      <c r="D6" s="9" t="inlineStr">
        <is>
          <t>Legacy documentation templates not updated post-2022 AAOIFI revision</t>
        </is>
      </c>
      <c r="E6" s="8" t="n">
        <v>3</v>
      </c>
      <c r="F6" s="8" t="n">
        <v>5</v>
      </c>
      <c r="G6" s="10" t="n">
        <v>15</v>
      </c>
      <c r="H6" s="9" t="inlineStr">
        <is>
          <t>Annual Sharia audit; Sharia Supervisory Board review</t>
        </is>
      </c>
      <c r="I6" s="11" t="inlineStr">
        <is>
          <t>Weak</t>
        </is>
      </c>
      <c r="J6" s="8" t="inlineStr">
        <is>
          <t>Sharia Dept</t>
        </is>
      </c>
      <c r="K6" s="8" t="inlineStr">
        <is>
          <t>Feb 2024</t>
        </is>
      </c>
    </row>
    <row r="7">
      <c r="A7" s="4" t="inlineStr">
        <is>
          <t>R-003</t>
        </is>
      </c>
      <c r="B7" s="4" t="inlineStr">
        <is>
          <t>AML/CFT</t>
        </is>
      </c>
      <c r="C7" s="5" t="inlineStr">
        <is>
          <t>High-risk customer segments (money exchange, crypto) lack enhanced CDD procedures</t>
        </is>
      </c>
      <c r="D7" s="5" t="inlineStr">
        <is>
          <t>Rapid onboarding of new customer segments without policy update</t>
        </is>
      </c>
      <c r="E7" s="4" t="n">
        <v>4</v>
      </c>
      <c r="F7" s="4" t="n">
        <v>4</v>
      </c>
      <c r="G7" s="6" t="n">
        <v>16</v>
      </c>
      <c r="H7" s="5" t="inlineStr">
        <is>
          <t>KYC refresh programme; TM alerts</t>
        </is>
      </c>
      <c r="I7" s="11" t="inlineStr">
        <is>
          <t>Weak</t>
        </is>
      </c>
      <c r="J7" s="4" t="inlineStr">
        <is>
          <t>CCO</t>
        </is>
      </c>
      <c r="K7" s="4" t="inlineStr">
        <is>
          <t>Feb 2024</t>
        </is>
      </c>
    </row>
    <row r="8">
      <c r="A8" s="8" t="inlineStr">
        <is>
          <t>R-004</t>
        </is>
      </c>
      <c r="B8" s="8" t="inlineStr">
        <is>
          <t>Liquidity Risk</t>
        </is>
      </c>
      <c r="C8" s="9" t="inlineStr">
        <is>
          <t>Concentration of funding in short-term interbank deposits exceeds CBK guidance</t>
        </is>
      </c>
      <c r="D8" s="9" t="inlineStr">
        <is>
          <t>Limited retail deposit base; institutional funding preference</t>
        </is>
      </c>
      <c r="E8" s="8" t="n">
        <v>3</v>
      </c>
      <c r="F8" s="8" t="n">
        <v>4</v>
      </c>
      <c r="G8" s="10" t="n">
        <v>12</v>
      </c>
      <c r="H8" s="9" t="inlineStr">
        <is>
          <t>Liquidity Coverage Ratio monitoring; stress testing</t>
        </is>
      </c>
      <c r="I8" s="7" t="inlineStr">
        <is>
          <t>Moderate</t>
        </is>
      </c>
      <c r="J8" s="8" t="inlineStr">
        <is>
          <t>Treasury</t>
        </is>
      </c>
      <c r="K8" s="8" t="inlineStr">
        <is>
          <t>Mar 2024</t>
        </is>
      </c>
    </row>
    <row r="9">
      <c r="A9" s="4" t="inlineStr">
        <is>
          <t>R-005</t>
        </is>
      </c>
      <c r="B9" s="4" t="inlineStr">
        <is>
          <t>Cyber Security</t>
        </is>
      </c>
      <c r="C9" s="5" t="inlineStr">
        <is>
          <t>Unauthorised access attempt detected on core banking API endpoint</t>
        </is>
      </c>
      <c r="D9" s="5" t="inlineStr">
        <is>
          <t>Outdated API gateway security; lack of rate limiting</t>
        </is>
      </c>
      <c r="E9" s="4" t="n">
        <v>3</v>
      </c>
      <c r="F9" s="4" t="n">
        <v>5</v>
      </c>
      <c r="G9" s="10" t="n">
        <v>15</v>
      </c>
      <c r="H9" s="5" t="inlineStr">
        <is>
          <t>Firewall; SOC monitoring; penetration testing annual</t>
        </is>
      </c>
      <c r="I9" s="11" t="inlineStr">
        <is>
          <t>Weak</t>
        </is>
      </c>
      <c r="J9" s="4" t="inlineStr">
        <is>
          <t>CISO</t>
        </is>
      </c>
      <c r="K9" s="4" t="inlineStr">
        <is>
          <t>Mar 2024</t>
        </is>
      </c>
    </row>
    <row r="10">
      <c r="A10" s="8" t="inlineStr">
        <is>
          <t>R-006</t>
        </is>
      </c>
      <c r="B10" s="8" t="inlineStr">
        <is>
          <t>Operational Risk</t>
        </is>
      </c>
      <c r="C10" s="9" t="inlineStr">
        <is>
          <t>Manual reconciliation processes in trade finance prone to error and delay</t>
        </is>
      </c>
      <c r="D10" s="9" t="inlineStr">
        <is>
          <t>Legacy system limitations; insufficient automation</t>
        </is>
      </c>
      <c r="E10" s="8" t="n">
        <v>4</v>
      </c>
      <c r="F10" s="8" t="n">
        <v>3</v>
      </c>
      <c r="G10" s="10" t="n">
        <v>12</v>
      </c>
      <c r="H10" s="9" t="inlineStr">
        <is>
          <t>4-eye check; monthly reconciliation review</t>
        </is>
      </c>
      <c r="I10" s="7" t="inlineStr">
        <is>
          <t>Moderate</t>
        </is>
      </c>
      <c r="J10" s="8" t="inlineStr">
        <is>
          <t>COO</t>
        </is>
      </c>
      <c r="K10" s="8" t="inlineStr">
        <is>
          <t>Apr 2024</t>
        </is>
      </c>
    </row>
    <row r="11">
      <c r="A11" s="4" t="inlineStr">
        <is>
          <t>R-007</t>
        </is>
      </c>
      <c r="B11" s="4" t="inlineStr">
        <is>
          <t>Market Risk</t>
        </is>
      </c>
      <c r="C11" s="5" t="inlineStr">
        <is>
          <t>FX exposure in GCC currencies not fully hedged during volatile periods</t>
        </is>
      </c>
      <c r="D11" s="5" t="inlineStr">
        <is>
          <t>Limited FX hedging instruments under Sharia-compliant structures</t>
        </is>
      </c>
      <c r="E11" s="4" t="n">
        <v>2</v>
      </c>
      <c r="F11" s="4" t="n">
        <v>4</v>
      </c>
      <c r="G11" s="12" t="n">
        <v>8</v>
      </c>
      <c r="H11" s="5" t="inlineStr">
        <is>
          <t>Profit Rate Risk Committee; VaR monitoring</t>
        </is>
      </c>
      <c r="I11" s="13" t="inlineStr">
        <is>
          <t>Adequate</t>
        </is>
      </c>
      <c r="J11" s="4" t="inlineStr">
        <is>
          <t>Treasurer</t>
        </is>
      </c>
      <c r="K11" s="4" t="inlineStr">
        <is>
          <t>May 2024</t>
        </is>
      </c>
    </row>
    <row r="12">
      <c r="A12" s="8" t="inlineStr">
        <is>
          <t>R-008</t>
        </is>
      </c>
      <c r="B12" s="8" t="inlineStr">
        <is>
          <t>Conduct Risk</t>
        </is>
      </c>
      <c r="C12" s="9" t="inlineStr">
        <is>
          <t>Retail investment product misselling risk under increased CBK scrutiny</t>
        </is>
      </c>
      <c r="D12" s="9" t="inlineStr">
        <is>
          <t>Incentive structures not aligned with suitability requirements</t>
        </is>
      </c>
      <c r="E12" s="8" t="n">
        <v>3</v>
      </c>
      <c r="F12" s="8" t="n">
        <v>4</v>
      </c>
      <c r="G12" s="10" t="n">
        <v>12</v>
      </c>
      <c r="H12" s="9" t="inlineStr">
        <is>
          <t>Suitability framework; complaint monitoring</t>
        </is>
      </c>
      <c r="I12" s="7" t="inlineStr">
        <is>
          <t>Moderate</t>
        </is>
      </c>
      <c r="J12" s="8" t="inlineStr">
        <is>
          <t>CCO</t>
        </is>
      </c>
      <c r="K12" s="8" t="inlineStr">
        <is>
          <t>Apr 2024</t>
        </is>
      </c>
    </row>
    <row r="13">
      <c r="A13" s="4" t="inlineStr">
        <is>
          <t>R-009</t>
        </is>
      </c>
      <c r="B13" s="4" t="inlineStr">
        <is>
          <t>Data Privacy</t>
        </is>
      </c>
      <c r="C13" s="5" t="inlineStr">
        <is>
          <t>Personal data retention periods exceed Qatar/Kuwait data protection requirements</t>
        </is>
      </c>
      <c r="D13" s="5" t="inlineStr">
        <is>
          <t>No automated data lifecycle management tool in place</t>
        </is>
      </c>
      <c r="E13" s="4" t="n">
        <v>2</v>
      </c>
      <c r="F13" s="4" t="n">
        <v>3</v>
      </c>
      <c r="G13" s="12" t="n">
        <v>6</v>
      </c>
      <c r="H13" s="5" t="inlineStr">
        <is>
          <t>DPIA for new products; privacy policy review</t>
        </is>
      </c>
      <c r="I13" s="7" t="inlineStr">
        <is>
          <t>Moderate</t>
        </is>
      </c>
      <c r="J13" s="4" t="inlineStr">
        <is>
          <t>DPO</t>
        </is>
      </c>
      <c r="K13" s="4" t="inlineStr">
        <is>
          <t>Jun 2024</t>
        </is>
      </c>
    </row>
    <row r="14">
      <c r="A14" s="8" t="inlineStr">
        <is>
          <t>R-010</t>
        </is>
      </c>
      <c r="B14" s="8" t="inlineStr">
        <is>
          <t>Third-Party Risk</t>
        </is>
      </c>
      <c r="C14" s="9" t="inlineStr">
        <is>
          <t>Core IT vendor contract renewal at risk due to financial distress of supplier</t>
        </is>
      </c>
      <c r="D14" s="9" t="inlineStr">
        <is>
          <t>Single vendor dependency for payment processing</t>
        </is>
      </c>
      <c r="E14" s="8" t="n">
        <v>2</v>
      </c>
      <c r="F14" s="8" t="n">
        <v>5</v>
      </c>
      <c r="G14" s="10" t="n">
        <v>10</v>
      </c>
      <c r="H14" s="9" t="inlineStr">
        <is>
          <t>Contingency planning; alternative vendor assessment</t>
        </is>
      </c>
      <c r="I14" s="11" t="inlineStr">
        <is>
          <t>Weak</t>
        </is>
      </c>
      <c r="J14" s="8" t="inlineStr">
        <is>
          <t>CTO</t>
        </is>
      </c>
      <c r="K14" s="8" t="inlineStr">
        <is>
          <t>Mar 2024</t>
        </is>
      </c>
    </row>
    <row r="15">
      <c r="A15" s="4" t="inlineStr">
        <is>
          <t>R-011</t>
        </is>
      </c>
      <c r="B15" s="4" t="inlineStr">
        <is>
          <t>Reputational Risk</t>
        </is>
      </c>
      <c r="C15" s="5" t="inlineStr">
        <is>
          <t>Social media exposure risk from customer complaints on delayed Islamic finance processing</t>
        </is>
      </c>
      <c r="D15" s="5" t="inlineStr">
        <is>
          <t>Processing delays in Ijara product due to property registry backlogs</t>
        </is>
      </c>
      <c r="E15" s="4" t="n">
        <v>3</v>
      </c>
      <c r="F15" s="4" t="n">
        <v>3</v>
      </c>
      <c r="G15" s="12" t="n">
        <v>9</v>
      </c>
      <c r="H15" s="5" t="inlineStr">
        <is>
          <t>Customer experience team; social media monitoring</t>
        </is>
      </c>
      <c r="I15" s="13" t="inlineStr">
        <is>
          <t>Adequate</t>
        </is>
      </c>
      <c r="J15" s="4" t="inlineStr">
        <is>
          <t>CMO</t>
        </is>
      </c>
      <c r="K15" s="4" t="inlineStr">
        <is>
          <t>May 2024</t>
        </is>
      </c>
    </row>
    <row r="16">
      <c r="A16" s="8" t="inlineStr">
        <is>
          <t>R-012</t>
        </is>
      </c>
      <c r="B16" s="8" t="inlineStr">
        <is>
          <t>Strategic Risk</t>
        </is>
      </c>
      <c r="C16" s="9" t="inlineStr">
        <is>
          <t>Revenue concentration in corporate segment (78%) limits diversification resilience</t>
        </is>
      </c>
      <c r="D16" s="9" t="inlineStr">
        <is>
          <t>Retail banking strategy not yet implemented due to system constraints</t>
        </is>
      </c>
      <c r="E16" s="8" t="n">
        <v>2</v>
      </c>
      <c r="F16" s="8" t="n">
        <v>4</v>
      </c>
      <c r="G16" s="12" t="n">
        <v>8</v>
      </c>
      <c r="H16" s="9" t="inlineStr">
        <is>
          <t>Strategic plan review; retail roadmap</t>
        </is>
      </c>
      <c r="I16" s="11" t="inlineStr">
        <is>
          <t>Weak</t>
        </is>
      </c>
      <c r="J16" s="8" t="inlineStr">
        <is>
          <t>CEO</t>
        </is>
      </c>
      <c r="K16" s="8" t="inlineStr">
        <is>
          <t>Jun 2024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Risk Register Summary</t>
        </is>
      </c>
    </row>
    <row r="3">
      <c r="A3" t="inlineStr">
        <is>
          <t>Total Risks Assessed</t>
        </is>
      </c>
      <c r="B3" s="15" t="n">
        <v>12</v>
      </c>
    </row>
    <row r="5">
      <c r="A5" s="16" t="inlineStr">
        <is>
          <t>Critical (Score 15-25)</t>
        </is>
      </c>
      <c r="B5" s="17">
        <f>COUNTIF('Risk Register'!G5:G16,"&gt;=15")</f>
        <v/>
      </c>
    </row>
    <row r="6">
      <c r="A6" s="16" t="inlineStr">
        <is>
          <t>High (Score 10-14)</t>
        </is>
      </c>
      <c r="B6" s="17">
        <f>COUNTIFS('Risk Register'!G5:G16,"&gt;="&amp;10,'Risk Register'!G5:G16,"&lt;"&amp;15)</f>
        <v/>
      </c>
    </row>
    <row r="7">
      <c r="A7" s="16" t="inlineStr">
        <is>
          <t>Medium (Score 5-9)</t>
        </is>
      </c>
      <c r="B7" s="17">
        <f>COUNTIFS('Risk Register'!G5:G16,"&gt;="&amp;5,'Risk Register'!G5:G16,"&lt;"&amp;10)</f>
        <v/>
      </c>
    </row>
    <row r="8">
      <c r="A8" s="16" t="inlineStr">
        <is>
          <t>Low (Score 1-4)</t>
        </is>
      </c>
      <c r="B8" s="17">
        <f>COUNTIF('Risk Register'!G5:G16,"&lt;=4")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2026-05-21T05:45:07Z</dcterms:created>
  <dcterms:modified xmlns:dcterms="http://purl.org/dc/terms/" xmlns:xsi="http://www.w3.org/2001/XMLSchema-instance" xsi:type="dcterms:W3CDTF">2026-05-21T05:45:07Z</dcterms:modified>
</cp:coreProperties>
</file>